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tern5\Desktop\KING\watermarking\code\"/>
    </mc:Choice>
  </mc:AlternateContent>
  <xr:revisionPtr revIDLastSave="0" documentId="13_ncr:1_{8406A38F-63F8-4498-97B9-6C0E74728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</calcChain>
</file>

<file path=xl/sharedStrings.xml><?xml version="1.0" encoding="utf-8"?>
<sst xmlns="http://schemas.openxmlformats.org/spreadsheetml/2006/main" count="214" uniqueCount="148">
  <si>
    <t>File name</t>
  </si>
  <si>
    <t>company</t>
  </si>
  <si>
    <t>Mr / Mrs</t>
  </si>
  <si>
    <t>Title</t>
  </si>
  <si>
    <t>Street</t>
  </si>
  <si>
    <t>Country</t>
  </si>
  <si>
    <t>Dear Sir, Madam,</t>
  </si>
  <si>
    <t>Dear Sir,</t>
  </si>
  <si>
    <t>First Last Name</t>
  </si>
  <si>
    <t>Managing Partner</t>
  </si>
  <si>
    <t>Ruben Stove</t>
  </si>
  <si>
    <t>Grasweg 68</t>
  </si>
  <si>
    <t>1031HX Amsterdam</t>
  </si>
  <si>
    <t>The Netherlands</t>
  </si>
  <si>
    <t>Star Capital</t>
  </si>
  <si>
    <t>Uniti Bhalla</t>
  </si>
  <si>
    <t>15th Floor, 33 Cavendish Square</t>
  </si>
  <si>
    <t>London W1G 0PW</t>
  </si>
  <si>
    <t>United Kingdom</t>
  </si>
  <si>
    <t>Postal code, City</t>
  </si>
  <si>
    <t>Mr.</t>
  </si>
  <si>
    <t>Ms.</t>
  </si>
  <si>
    <t>Cathy Duan-Plainer</t>
  </si>
  <si>
    <t>Director</t>
  </si>
  <si>
    <t>Odeonsplatz 18</t>
  </si>
  <si>
    <t>80539 Munich</t>
  </si>
  <si>
    <t>Germany</t>
  </si>
  <si>
    <t>Dear Madam,</t>
  </si>
  <si>
    <t>Gimv</t>
  </si>
  <si>
    <t>Partner - Senior Principal</t>
  </si>
  <si>
    <t>Karel Oomsstraat 37</t>
  </si>
  <si>
    <t>2018 Antwerp</t>
  </si>
  <si>
    <t>Belgium</t>
  </si>
  <si>
    <t xml:space="preserve">Dear Sir,
Dear Madam, </t>
  </si>
  <si>
    <t>Ruben Monballieu - Ms. Stéphanie Massart</t>
  </si>
  <si>
    <t>Apheon</t>
  </si>
  <si>
    <t>Pieter Lambrecht - Mr. Herbert Vanden Eynde</t>
  </si>
  <si>
    <t>Partner - Managing Director</t>
  </si>
  <si>
    <t>19-21, route d'Arlon</t>
  </si>
  <si>
    <t>8009 Strassen</t>
  </si>
  <si>
    <t>Grand Duchy of Luxembourg</t>
  </si>
  <si>
    <t>Olivier Boyadjian - Mr. Charles Virton</t>
  </si>
  <si>
    <t>Managing Director - Business Development Director</t>
  </si>
  <si>
    <t>2 rue Lord Byron</t>
  </si>
  <si>
    <t>75008 Paris</t>
  </si>
  <si>
    <t>France</t>
  </si>
  <si>
    <t>ICG</t>
  </si>
  <si>
    <t>Olivier Golder - Mr. Karim Hoebanx</t>
  </si>
  <si>
    <t>Managing Director - Director</t>
  </si>
  <si>
    <t>1, rue de la Paix</t>
  </si>
  <si>
    <t>75002 Paris</t>
  </si>
  <si>
    <t>Olivier Lange - Mr. Pierre-Adrien Ausset</t>
  </si>
  <si>
    <t>Président - Investment Manager</t>
  </si>
  <si>
    <t>30 avenue Kléber</t>
  </si>
  <si>
    <t>75116 Paris</t>
  </si>
  <si>
    <t>Bencis</t>
  </si>
  <si>
    <t>Benoit Graulich</t>
  </si>
  <si>
    <t>WTC Amsterdam TowerTen, 18th Floor, Strawinskylaan 1577</t>
  </si>
  <si>
    <t>1077 XX Amsterdam</t>
  </si>
  <si>
    <t>the Netherlands</t>
  </si>
  <si>
    <t>Bencis VII Coöperatief U.A.</t>
  </si>
  <si>
    <t>Ackermans &amp; van Haaren</t>
  </si>
  <si>
    <t>Ackermans &amp; van Haaren NV</t>
  </si>
  <si>
    <t>Jens Van Nieuwenborgh</t>
  </si>
  <si>
    <t>Investment Director</t>
  </si>
  <si>
    <t>Begijnenvest 113</t>
  </si>
  <si>
    <t>2000 Antwerp</t>
  </si>
  <si>
    <t>AGIC Partners</t>
  </si>
  <si>
    <t>AGIC Partners GmbH</t>
  </si>
  <si>
    <t>Andera Acto</t>
  </si>
  <si>
    <t>Nicolas Aftimos</t>
  </si>
  <si>
    <t>2, Place Rio de Janeiro</t>
  </si>
  <si>
    <t>Ardian</t>
  </si>
  <si>
    <t>ARDIAN Expansion Fund VI, duly represented by ARDIAN France</t>
  </si>
  <si>
    <t>Arnaud Dufer</t>
  </si>
  <si>
    <t>Managing Director</t>
  </si>
  <si>
    <t>20, place Vendôme</t>
  </si>
  <si>
    <t>75001 Paris</t>
  </si>
  <si>
    <t>Baltisse</t>
  </si>
  <si>
    <t>Baltisse NV</t>
  </si>
  <si>
    <t>Davy Vandenheede</t>
  </si>
  <si>
    <t>Pauline Van Pottelsberghelaan 10</t>
  </si>
  <si>
    <t>9051 Ghent</t>
  </si>
  <si>
    <t>Chequers Capital</t>
  </si>
  <si>
    <t>Peter Lambrecht</t>
  </si>
  <si>
    <t>5 Rue Francois 1er</t>
  </si>
  <si>
    <t>Cobepa</t>
  </si>
  <si>
    <t>Cobepa SA</t>
  </si>
  <si>
    <t>Filip Vanderschueren</t>
  </si>
  <si>
    <t>Rue de la Chancellerie 2 Box 1</t>
  </si>
  <si>
    <t>1000 Brussels</t>
  </si>
  <si>
    <t>CVC DIF</t>
  </si>
  <si>
    <t>DIF Value-Add IV Coöperatief U.A.</t>
  </si>
  <si>
    <t>Mark Bakker</t>
  </si>
  <si>
    <t>Schiphol Boulevard 269, Tower D, 10th floor</t>
  </si>
  <si>
    <t>1118 BH Schiphol</t>
  </si>
  <si>
    <t>CVC</t>
  </si>
  <si>
    <t>CVC Advisers (StratOps) SRL</t>
  </si>
  <si>
    <t>Michael Lavrysen</t>
  </si>
  <si>
    <t>Partner</t>
  </si>
  <si>
    <t>Chaussée de la Hulpe 166</t>
  </si>
  <si>
    <t>1170 Brussels</t>
  </si>
  <si>
    <t>Florac</t>
  </si>
  <si>
    <t>Florac Investissements II</t>
  </si>
  <si>
    <t>Patrick Bendahan</t>
  </si>
  <si>
    <t>16 avenue Robert Schuman</t>
  </si>
  <si>
    <t>75007 Paris</t>
  </si>
  <si>
    <t>Gimv NV</t>
  </si>
  <si>
    <t>H.I.G. Capital</t>
  </si>
  <si>
    <t>H.I.G. European Capital Partners Advisors SAS</t>
  </si>
  <si>
    <t>IceLake</t>
  </si>
  <si>
    <t>IceLake Belgium BV</t>
  </si>
  <si>
    <t>Siebrecht Declerck</t>
  </si>
  <si>
    <t>Culliganlaan 5, bus 15</t>
  </si>
  <si>
    <t>1831 Diegem</t>
  </si>
  <si>
    <t>Intermediate Capital Group SAS</t>
  </si>
  <si>
    <t>Kartesia Belgium</t>
  </si>
  <si>
    <t>Kartesia Belgium S.A.</t>
  </si>
  <si>
    <t>Gaëtan Valcke</t>
  </si>
  <si>
    <t>Associate Director</t>
  </si>
  <si>
    <t>Avenue Louise 250</t>
  </si>
  <si>
    <t>1050 Brussels</t>
  </si>
  <si>
    <t>LFPI Gestion</t>
  </si>
  <si>
    <t xml:space="preserve">LFPI Gestion </t>
  </si>
  <si>
    <t>M80 Partners</t>
  </si>
  <si>
    <t>M80 Partners NV</t>
  </si>
  <si>
    <t>Peter Maenhout</t>
  </si>
  <si>
    <t>CEO, Partner</t>
  </si>
  <si>
    <t>158 - 160, Livornostraat</t>
  </si>
  <si>
    <t>1000 Brussel</t>
  </si>
  <si>
    <t>Mentha Capital</t>
  </si>
  <si>
    <t>Mentha Capital Investment Management B.V.</t>
  </si>
  <si>
    <t>NPM Capital</t>
  </si>
  <si>
    <t>NPM Capital N.V.</t>
  </si>
  <si>
    <t>Hiram Claus</t>
  </si>
  <si>
    <t>Breitnerstraat 1</t>
  </si>
  <si>
    <t>1077BL Amsterdam</t>
  </si>
  <si>
    <t>STAR CAPITAL PARTNERSHIP LLP</t>
  </si>
  <si>
    <t>Straco</t>
  </si>
  <si>
    <t>Straco PE B.V.</t>
  </si>
  <si>
    <t>Maarten Peers</t>
  </si>
  <si>
    <t>Rijvisschestraat 122</t>
  </si>
  <si>
    <t>9052 Ghent</t>
  </si>
  <si>
    <t>Waterland</t>
  </si>
  <si>
    <t>WPEF IX Holding Coöperatief W.A.</t>
  </si>
  <si>
    <t>Manu Uylenbroeck</t>
  </si>
  <si>
    <t>Brediusweg 16</t>
  </si>
  <si>
    <t>1401 AG Bussum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</si>
</sst>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2" borderId="0" xfId="1" applyFill="1"/>
    <xf numFmtId="0" fontId="1" fillId="3" borderId="0" xfId="1" applyFill="1"/>
    <xf numFmtId="0" fontId="1" fillId="2" borderId="0" xfId="1" applyFill="1" applyAlignment="1">
      <alignment wrapText="1"/>
    </xf>
    <xf numFmtId="0" fontId="0" fillId="2" borderId="0" xfId="0" applyFill="1"/>
  </cellXfs>
  <cellStyles count="2">
    <cellStyle name="Normal" xfId="0" builtinId="0"/>
    <cellStyle name="Normal 2" xfId="1" xr:uid="{D0E287D2-3B86-4555-A398-EBC29593BBBC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E26" sqref="E26"/>
    </sheetView>
  </sheetViews>
  <sheetFormatPr defaultRowHeight="15" x14ac:dyDescent="0.25"/>
  <cols>
    <col min="2" max="2" width="26.5703125" bestFit="1" customWidth="1"/>
    <col min="3" max="3" width="8.42578125" bestFit="1" customWidth="1"/>
    <col min="4" max="4" width="39.42578125" bestFit="1" customWidth="1"/>
    <col min="5" max="5" width="133.7109375" bestFit="1" customWidth="1"/>
    <col min="6" max="6" width="55.140625" bestFit="1" customWidth="1"/>
    <col min="7" max="7" width="18.7109375" bestFit="1" customWidth="1"/>
    <col min="8" max="8" width="26.42578125" bestFit="1" customWidth="1"/>
    <col min="9" max="9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19</v>
      </c>
      <c r="H1" t="s">
        <v>5</v>
      </c>
      <c r="I1" t="s">
        <v>6</v>
      </c>
    </row>
    <row r="2" spans="1:9" x14ac:dyDescent="0.25">
      <c r="A2" s="1" t="s">
        <v>61</v>
      </c>
      <c r="B2" s="1" t="s">
        <v>62</v>
      </c>
      <c r="C2" s="1" t="s">
        <v>20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32</v>
      </c>
      <c r="I2" s="1" t="s">
        <v>7</v>
      </c>
    </row>
    <row r="3" spans="1:9" x14ac:dyDescent="0.25">
      <c r="A3" s="4" t="s">
        <v>67</v>
      </c>
      <c r="B3" s="1" t="s">
        <v>68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</row>
    <row r="4" spans="1:9" x14ac:dyDescent="0.25">
      <c r="A4" s="4" t="s">
        <v>69</v>
      </c>
      <c r="B4" s="1" t="s">
        <v>69</v>
      </c>
      <c r="C4" s="1" t="s">
        <v>20</v>
      </c>
      <c r="D4" s="1" t="s">
        <v>70</v>
      </c>
      <c r="E4" s="1" t="s">
        <v>23</v>
      </c>
      <c r="F4" s="1" t="s">
        <v>71</v>
      </c>
      <c r="G4" s="1" t="s">
        <v>44</v>
      </c>
      <c r="H4" s="1" t="s">
        <v>45</v>
      </c>
      <c r="I4" s="1" t="s">
        <v>7</v>
      </c>
    </row>
    <row r="5" spans="1:9" x14ac:dyDescent="0.25">
      <c r="A5" s="4" t="s">
        <v>35</v>
      </c>
      <c r="B5" s="1" t="s">
        <v>35</v>
      </c>
      <c r="C5" s="1" t="s">
        <v>20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7</v>
      </c>
    </row>
    <row r="6" spans="1:9" x14ac:dyDescent="0.25">
      <c r="A6" s="4" t="s">
        <v>72</v>
      </c>
      <c r="B6" s="1" t="s">
        <v>73</v>
      </c>
      <c r="C6" s="1" t="s">
        <v>20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45</v>
      </c>
      <c r="I6" s="1" t="s">
        <v>7</v>
      </c>
    </row>
    <row r="7" spans="1:9" x14ac:dyDescent="0.25">
      <c r="A7" s="4" t="s">
        <v>78</v>
      </c>
      <c r="B7" s="1" t="s">
        <v>79</v>
      </c>
      <c r="C7" s="1" t="s">
        <v>20</v>
      </c>
      <c r="D7" s="1" t="s">
        <v>80</v>
      </c>
      <c r="E7" s="1" t="s">
        <v>64</v>
      </c>
      <c r="F7" s="1" t="s">
        <v>81</v>
      </c>
      <c r="G7" s="1" t="s">
        <v>82</v>
      </c>
      <c r="H7" s="1" t="s">
        <v>32</v>
      </c>
      <c r="I7" s="1" t="s">
        <v>7</v>
      </c>
    </row>
    <row r="8" spans="1:9" x14ac:dyDescent="0.25">
      <c r="A8" s="4" t="s">
        <v>55</v>
      </c>
      <c r="B8" s="1" t="s">
        <v>60</v>
      </c>
      <c r="C8" s="1" t="s">
        <v>20</v>
      </c>
      <c r="D8" s="1" t="s">
        <v>56</v>
      </c>
      <c r="E8" s="1" t="s">
        <v>9</v>
      </c>
      <c r="F8" s="1" t="s">
        <v>57</v>
      </c>
      <c r="G8" s="1" t="s">
        <v>58</v>
      </c>
      <c r="H8" s="1" t="s">
        <v>59</v>
      </c>
      <c r="I8" s="1" t="s">
        <v>7</v>
      </c>
    </row>
    <row r="9" spans="1:9" x14ac:dyDescent="0.25">
      <c r="A9" s="1" t="s">
        <v>83</v>
      </c>
      <c r="B9" s="1" t="s">
        <v>83</v>
      </c>
      <c r="C9" s="1" t="s">
        <v>20</v>
      </c>
      <c r="D9" s="1" t="s">
        <v>84</v>
      </c>
      <c r="E9" s="1" t="s">
        <v>75</v>
      </c>
      <c r="F9" s="1" t="s">
        <v>85</v>
      </c>
      <c r="G9" s="1" t="s">
        <v>44</v>
      </c>
      <c r="H9" s="1" t="s">
        <v>45</v>
      </c>
      <c r="I9" s="1" t="s">
        <v>7</v>
      </c>
    </row>
    <row r="10" spans="1:9" x14ac:dyDescent="0.25">
      <c r="A10" s="4" t="s">
        <v>86</v>
      </c>
      <c r="B10" s="1" t="s">
        <v>87</v>
      </c>
      <c r="C10" s="1" t="s">
        <v>20</v>
      </c>
      <c r="D10" s="1" t="s">
        <v>88</v>
      </c>
      <c r="E10" s="1" t="s">
        <v>9</v>
      </c>
      <c r="F10" s="1" t="s">
        <v>89</v>
      </c>
      <c r="G10" s="1" t="s">
        <v>90</v>
      </c>
      <c r="H10" s="1" t="s">
        <v>32</v>
      </c>
      <c r="I10" s="1" t="s">
        <v>7</v>
      </c>
    </row>
    <row r="11" spans="1:9" x14ac:dyDescent="0.25">
      <c r="A11" s="4" t="s">
        <v>91</v>
      </c>
      <c r="B11" s="1" t="s">
        <v>92</v>
      </c>
      <c r="C11" s="1" t="s">
        <v>20</v>
      </c>
      <c r="D11" s="1" t="s">
        <v>93</v>
      </c>
      <c r="E11" s="1" t="s">
        <v>75</v>
      </c>
      <c r="F11" s="1" t="s">
        <v>94</v>
      </c>
      <c r="G11" s="1" t="s">
        <v>95</v>
      </c>
      <c r="H11" s="1" t="s">
        <v>59</v>
      </c>
      <c r="I11" s="1" t="s">
        <v>7</v>
      </c>
    </row>
    <row r="12" spans="1:9" x14ac:dyDescent="0.25">
      <c r="A12" s="4" t="s">
        <v>96</v>
      </c>
      <c r="B12" s="1" t="s">
        <v>97</v>
      </c>
      <c r="C12" s="1" t="s">
        <v>20</v>
      </c>
      <c r="D12" s="1" t="s">
        <v>98</v>
      </c>
      <c r="E12" s="1" t="s">
        <v>99</v>
      </c>
      <c r="F12" s="1" t="s">
        <v>100</v>
      </c>
      <c r="G12" s="1" t="s">
        <v>101</v>
      </c>
      <c r="H12" s="1" t="s">
        <v>32</v>
      </c>
      <c r="I12" s="1" t="s">
        <v>7</v>
      </c>
    </row>
    <row r="13" spans="1:9" x14ac:dyDescent="0.25">
      <c r="A13" s="4" t="s">
        <v>102</v>
      </c>
      <c r="B13" s="1" t="s">
        <v>103</v>
      </c>
      <c r="C13" s="1" t="s">
        <v>20</v>
      </c>
      <c r="D13" s="1" t="s">
        <v>104</v>
      </c>
      <c r="E13" s="1" t="s">
        <v>9</v>
      </c>
      <c r="F13" s="1" t="s">
        <v>105</v>
      </c>
      <c r="G13" s="1" t="s">
        <v>106</v>
      </c>
      <c r="H13" s="1" t="s">
        <v>45</v>
      </c>
      <c r="I13" s="1" t="s">
        <v>7</v>
      </c>
    </row>
    <row r="14" spans="1:9" ht="30" x14ac:dyDescent="0.25">
      <c r="A14" s="4" t="s">
        <v>28</v>
      </c>
      <c r="B14" s="2" t="s">
        <v>107</v>
      </c>
      <c r="C14" s="1" t="s">
        <v>20</v>
      </c>
      <c r="D14" s="1" t="s">
        <v>34</v>
      </c>
      <c r="E14" s="1" t="s">
        <v>29</v>
      </c>
      <c r="F14" s="1" t="s">
        <v>30</v>
      </c>
      <c r="G14" s="1" t="s">
        <v>31</v>
      </c>
      <c r="H14" s="1" t="s">
        <v>32</v>
      </c>
      <c r="I14" s="3" t="s">
        <v>33</v>
      </c>
    </row>
    <row r="15" spans="1:9" x14ac:dyDescent="0.25">
      <c r="A15" s="4" t="s">
        <v>108</v>
      </c>
      <c r="B15" s="2" t="s">
        <v>109</v>
      </c>
      <c r="C15" s="1" t="s">
        <v>20</v>
      </c>
      <c r="D15" s="1" t="s">
        <v>41</v>
      </c>
      <c r="E15" s="1" t="s">
        <v>42</v>
      </c>
      <c r="F15" s="1" t="s">
        <v>43</v>
      </c>
      <c r="G15" s="1" t="s">
        <v>44</v>
      </c>
      <c r="H15" s="1" t="s">
        <v>45</v>
      </c>
      <c r="I15" s="1" t="str">
        <f>IF(C15="Mr.","Dear Sir,","Dear Madam")</f>
        <v>Dear Sir,</v>
      </c>
    </row>
    <row r="16" spans="1:9" x14ac:dyDescent="0.25">
      <c r="A16" s="4" t="s">
        <v>110</v>
      </c>
      <c r="B16" s="1" t="s">
        <v>111</v>
      </c>
      <c r="C16" s="1" t="s">
        <v>20</v>
      </c>
      <c r="D16" s="1" t="s">
        <v>112</v>
      </c>
      <c r="E16" s="1" t="s">
        <v>75</v>
      </c>
      <c r="F16" s="1" t="s">
        <v>113</v>
      </c>
      <c r="G16" s="1" t="s">
        <v>114</v>
      </c>
      <c r="H16" s="1" t="s">
        <v>32</v>
      </c>
      <c r="I16" s="1" t="str">
        <f t="shared" ref="I16:I25" si="0">IF(C16="Mr.","Dear Sir,","Dear Madam")</f>
        <v>Dear Sir,</v>
      </c>
    </row>
    <row r="17" spans="1:9" x14ac:dyDescent="0.25">
      <c r="A17" s="4" t="s">
        <v>46</v>
      </c>
      <c r="B17" s="1" t="s">
        <v>115</v>
      </c>
      <c r="C17" s="1" t="s">
        <v>20</v>
      </c>
      <c r="D17" s="1" t="s">
        <v>47</v>
      </c>
      <c r="E17" s="1" t="s">
        <v>48</v>
      </c>
      <c r="F17" s="1" t="s">
        <v>49</v>
      </c>
      <c r="G17" s="1" t="s">
        <v>50</v>
      </c>
      <c r="H17" s="1" t="s">
        <v>45</v>
      </c>
      <c r="I17" s="1" t="str">
        <f t="shared" si="0"/>
        <v>Dear Sir,</v>
      </c>
    </row>
    <row r="18" spans="1:9" x14ac:dyDescent="0.25">
      <c r="A18" s="1" t="s">
        <v>116</v>
      </c>
      <c r="B18" s="1" t="s">
        <v>117</v>
      </c>
      <c r="C18" s="1" t="s">
        <v>20</v>
      </c>
      <c r="D18" s="1" t="s">
        <v>118</v>
      </c>
      <c r="E18" s="1" t="s">
        <v>119</v>
      </c>
      <c r="F18" s="1" t="s">
        <v>120</v>
      </c>
      <c r="G18" s="1" t="s">
        <v>121</v>
      </c>
      <c r="H18" s="1" t="s">
        <v>32</v>
      </c>
      <c r="I18" s="1" t="str">
        <f t="shared" si="0"/>
        <v>Dear Sir,</v>
      </c>
    </row>
    <row r="19" spans="1:9" x14ac:dyDescent="0.25">
      <c r="A19" s="1" t="s">
        <v>122</v>
      </c>
      <c r="B19" s="1" t="s">
        <v>123</v>
      </c>
      <c r="C19" s="1" t="s">
        <v>20</v>
      </c>
      <c r="D19" s="1" t="s">
        <v>51</v>
      </c>
      <c r="E19" s="1" t="s">
        <v>52</v>
      </c>
      <c r="F19" s="1" t="s">
        <v>53</v>
      </c>
      <c r="G19" s="1" t="s">
        <v>54</v>
      </c>
      <c r="H19" s="1" t="s">
        <v>45</v>
      </c>
      <c r="I19" s="1" t="str">
        <f t="shared" si="0"/>
        <v>Dear Sir,</v>
      </c>
    </row>
    <row r="20" spans="1:9" x14ac:dyDescent="0.25">
      <c r="A20" s="4" t="s">
        <v>124</v>
      </c>
      <c r="B20" s="1" t="s">
        <v>125</v>
      </c>
      <c r="C20" s="1" t="s">
        <v>20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32</v>
      </c>
      <c r="I20" s="1" t="str">
        <f t="shared" si="0"/>
        <v>Dear Sir,</v>
      </c>
    </row>
    <row r="21" spans="1:9" x14ac:dyDescent="0.25">
      <c r="A21" s="4" t="s">
        <v>130</v>
      </c>
      <c r="B21" s="1" t="s">
        <v>131</v>
      </c>
      <c r="C21" s="1" t="s">
        <v>20</v>
      </c>
      <c r="D21" s="1" t="s">
        <v>10</v>
      </c>
      <c r="E21" s="1" t="s">
        <v>64</v>
      </c>
      <c r="F21" s="1" t="s">
        <v>11</v>
      </c>
      <c r="G21" s="1" t="s">
        <v>12</v>
      </c>
      <c r="H21" s="1" t="s">
        <v>13</v>
      </c>
      <c r="I21" s="1" t="str">
        <f t="shared" si="0"/>
        <v>Dear Sir,</v>
      </c>
    </row>
    <row r="22" spans="1:9" x14ac:dyDescent="0.25">
      <c r="A22" s="4" t="s">
        <v>132</v>
      </c>
      <c r="B22" s="1" t="s">
        <v>133</v>
      </c>
      <c r="C22" s="1" t="s">
        <v>20</v>
      </c>
      <c r="D22" s="1" t="s">
        <v>134</v>
      </c>
      <c r="E22" s="1" t="s">
        <v>99</v>
      </c>
      <c r="F22" s="1" t="s">
        <v>135</v>
      </c>
      <c r="G22" s="1" t="s">
        <v>136</v>
      </c>
      <c r="H22" s="1" t="s">
        <v>13</v>
      </c>
      <c r="I22" s="1" t="str">
        <f t="shared" si="0"/>
        <v>Dear Sir,</v>
      </c>
    </row>
    <row r="23" spans="1:9" x14ac:dyDescent="0.25">
      <c r="A23" s="4" t="s">
        <v>14</v>
      </c>
      <c r="B23" s="1" t="s">
        <v>137</v>
      </c>
      <c r="C23" s="1" t="s">
        <v>21</v>
      </c>
      <c r="D23" s="1" t="s">
        <v>15</v>
      </c>
      <c r="E23" s="1" t="s">
        <v>9</v>
      </c>
      <c r="F23" s="1" t="s">
        <v>16</v>
      </c>
      <c r="G23" s="1" t="s">
        <v>17</v>
      </c>
      <c r="H23" s="1" t="s">
        <v>18</v>
      </c>
      <c r="I23" s="1" t="str">
        <f>IF(C23="Mr.","Dear Sir,","Dear Madam,")</f>
        <v>Dear Madam,</v>
      </c>
    </row>
    <row r="24" spans="1:9" x14ac:dyDescent="0.25">
      <c r="A24" s="4" t="s">
        <v>138</v>
      </c>
      <c r="B24" s="1" t="s">
        <v>139</v>
      </c>
      <c r="C24" s="1" t="s">
        <v>20</v>
      </c>
      <c r="D24" s="1" t="s">
        <v>140</v>
      </c>
      <c r="E24" s="1" t="s">
        <v>9</v>
      </c>
      <c r="F24" s="1" t="s">
        <v>141</v>
      </c>
      <c r="G24" s="1" t="s">
        <v>142</v>
      </c>
      <c r="H24" s="1" t="s">
        <v>32</v>
      </c>
      <c r="I24" s="1" t="str">
        <f t="shared" si="0"/>
        <v>Dear Sir,</v>
      </c>
    </row>
    <row r="25" spans="1:9" x14ac:dyDescent="0.25">
      <c r="A25" s="4" t="s">
        <v>143</v>
      </c>
      <c r="B25" s="1" t="s">
        <v>144</v>
      </c>
      <c r="C25" s="1" t="s">
        <v>20</v>
      </c>
      <c r="D25" s="1" t="s">
        <v>145</v>
      </c>
      <c r="E25" s="1" t="s">
        <v>64</v>
      </c>
      <c r="F25" s="1" t="s">
        <v>146</v>
      </c>
      <c r="G25" s="1" t="s">
        <v>147</v>
      </c>
      <c r="H25" s="1" t="s">
        <v>13</v>
      </c>
      <c r="I25" s="1" t="str">
        <f t="shared" si="0"/>
        <v>Dear Sir,</v>
      </c>
    </row>
  </sheetData>
  <conditionalFormatting sqref="B2:H25">
    <cfRule type="cellIs" dxfId="4" priority="5" operator="equal">
      <formula>"NA"</formula>
    </cfRule>
  </conditionalFormatting>
  <conditionalFormatting sqref="A19">
    <cfRule type="cellIs" dxfId="3" priority="4" operator="equal">
      <formula>"NA"</formula>
    </cfRule>
  </conditionalFormatting>
  <conditionalFormatting sqref="A18">
    <cfRule type="cellIs" dxfId="2" priority="3" operator="equal">
      <formula>"NA"</formula>
    </cfRule>
  </conditionalFormatting>
  <conditionalFormatting sqref="A9">
    <cfRule type="cellIs" dxfId="1" priority="2" operator="equal">
      <formula>"NA"</formula>
    </cfRule>
  </conditionalFormatting>
  <conditionalFormatting sqref="A2">
    <cfRule type="cellIs" dxfId="0" priority="1" operator="equal">
      <formula>"NA"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5</cp:lastModifiedBy>
  <dcterms:created xsi:type="dcterms:W3CDTF">2026-06-05T14:47:58Z</dcterms:created>
  <dcterms:modified xsi:type="dcterms:W3CDTF">2026-06-08T15:54:26Z</dcterms:modified>
</cp:coreProperties>
</file>